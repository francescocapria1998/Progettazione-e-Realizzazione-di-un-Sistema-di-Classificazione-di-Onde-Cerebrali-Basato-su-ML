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GitHub\05-Test_4_Cross_Subject_Adaptation\"/>
    </mc:Choice>
  </mc:AlternateContent>
  <xr:revisionPtr revIDLastSave="0" documentId="13_ncr:1_{24C4133C-2955-407A-8C1B-766E4A8CA7F2}" xr6:coauthVersionLast="47" xr6:coauthVersionMax="47" xr10:uidLastSave="{00000000-0000-0000-0000-000000000000}"/>
  <bookViews>
    <workbookView xWindow="-98" yWindow="-98" windowWidth="21795" windowHeight="12975" xr2:uid="{AB8442C1-95A8-409E-9541-4706AD673C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F10" i="1"/>
  <c r="E10" i="1"/>
  <c r="D10" i="1"/>
  <c r="C10" i="1"/>
  <c r="F57" i="1"/>
  <c r="E57" i="1"/>
  <c r="D57" i="1"/>
  <c r="C57" i="1"/>
  <c r="F36" i="1"/>
  <c r="E36" i="1"/>
  <c r="D36" i="1"/>
  <c r="C36" i="1"/>
</calcChain>
</file>

<file path=xl/sharedStrings.xml><?xml version="1.0" encoding="utf-8"?>
<sst xmlns="http://schemas.openxmlformats.org/spreadsheetml/2006/main" count="40" uniqueCount="19">
  <si>
    <t>Accuracy</t>
  </si>
  <si>
    <t>Subject 16</t>
  </si>
  <si>
    <t>Subject 17</t>
  </si>
  <si>
    <t>Subject 18</t>
  </si>
  <si>
    <t>Subject 19</t>
  </si>
  <si>
    <t>Subject 20</t>
  </si>
  <si>
    <t>Subject 21</t>
  </si>
  <si>
    <t>Subject 22</t>
  </si>
  <si>
    <t>Subject 23</t>
  </si>
  <si>
    <t>Subject 24</t>
  </si>
  <si>
    <t>Subject 25</t>
  </si>
  <si>
    <t>Subject 26</t>
  </si>
  <si>
    <t>Subject 27</t>
  </si>
  <si>
    <t>Precision</t>
  </si>
  <si>
    <t>Recall</t>
  </si>
  <si>
    <t>F1-Score</t>
  </si>
  <si>
    <t>MEAN</t>
  </si>
  <si>
    <t>4.2    All Dense Unfrozen</t>
  </si>
  <si>
    <t>4.1    Last Dense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</si>
</sst>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Last</a:t>
            </a:r>
            <a:r>
              <a:rPr lang="it-IT" baseline="0"/>
              <a:t> Dense Only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Foglio1!$C$23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Foglio1!$C$24:$C$35</c:f>
              <c:numCache>
                <c:formatCode>0.0000</c:formatCode>
                <c:ptCount val="12"/>
                <c:pt idx="0">
                  <c:v>0.34260000000000002</c:v>
                </c:pt>
                <c:pt idx="1">
                  <c:v>0.28639999999999999</c:v>
                </c:pt>
                <c:pt idx="2">
                  <c:v>0.36130000000000001</c:v>
                </c:pt>
                <c:pt idx="3">
                  <c:v>0.32629999999999998</c:v>
                </c:pt>
                <c:pt idx="4">
                  <c:v>0.4491</c:v>
                </c:pt>
                <c:pt idx="5">
                  <c:v>0.3841</c:v>
                </c:pt>
                <c:pt idx="6">
                  <c:v>0.30590000000000001</c:v>
                </c:pt>
                <c:pt idx="7">
                  <c:v>0.36780000000000002</c:v>
                </c:pt>
                <c:pt idx="8">
                  <c:v>0.47760000000000002</c:v>
                </c:pt>
                <c:pt idx="9">
                  <c:v>0.43859999999999999</c:v>
                </c:pt>
                <c:pt idx="10">
                  <c:v>0.34660000000000002</c:v>
                </c:pt>
                <c:pt idx="11">
                  <c:v>0.34910000000000002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5-4CF5-AACB-B30077DE6EB6}"/>
            </c:ext>
          </c:extLst>
        </c:ser>
        <c:ser>
          <c:idx val="1"/>
          <c:order val="1"/>
          <c:tx>
            <c:strRef>
              <c:f>Foglio1!$D$23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Foglio1!$D$24:$D$35</c:f>
              <c:numCache>
                <c:formatCode>0.0000</c:formatCode>
                <c:ptCount val="12"/>
                <c:pt idx="0">
                  <c:v>0.27700000000000002</c:v>
                </c:pt>
                <c:pt idx="1">
                  <c:v>0.23549999999999999</c:v>
                </c:pt>
                <c:pt idx="2">
                  <c:v>0.28839999999999999</c:v>
                </c:pt>
                <c:pt idx="3">
                  <c:v>0.2321</c:v>
                </c:pt>
                <c:pt idx="4">
                  <c:v>0.40660000000000002</c:v>
                </c:pt>
                <c:pt idx="5">
                  <c:v>0.33090000000000003</c:v>
                </c:pt>
                <c:pt idx="6">
                  <c:v>0.2157</c:v>
                </c:pt>
                <c:pt idx="7">
                  <c:v>0.30620000000000003</c:v>
                </c:pt>
                <c:pt idx="8">
                  <c:v>0.45400000000000001</c:v>
                </c:pt>
                <c:pt idx="9">
                  <c:v>0.38950000000000001</c:v>
                </c:pt>
                <c:pt idx="10">
                  <c:v>0.25879999999999997</c:v>
                </c:pt>
                <c:pt idx="11">
                  <c:v>0.30049999999999999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5-4CF5-AACB-B30077DE6EB6}"/>
            </c:ext>
          </c:extLst>
        </c:ser>
        <c:ser>
          <c:idx val="2"/>
          <c:order val="2"/>
          <c:tx>
            <c:strRef>
              <c:f>Foglio1!$E$23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Foglio1!$E$24:$E$35</c:f>
              <c:numCache>
                <c:formatCode>0.0000</c:formatCode>
                <c:ptCount val="12"/>
                <c:pt idx="0">
                  <c:v>0.2697</c:v>
                </c:pt>
                <c:pt idx="1">
                  <c:v>0.2412</c:v>
                </c:pt>
                <c:pt idx="2">
                  <c:v>0.29599999999999999</c:v>
                </c:pt>
                <c:pt idx="3">
                  <c:v>0.219</c:v>
                </c:pt>
                <c:pt idx="4">
                  <c:v>0.38150000000000001</c:v>
                </c:pt>
                <c:pt idx="5">
                  <c:v>0.31430000000000002</c:v>
                </c:pt>
                <c:pt idx="6">
                  <c:v>0.2107</c:v>
                </c:pt>
                <c:pt idx="7">
                  <c:v>0.28239999999999998</c:v>
                </c:pt>
                <c:pt idx="8">
                  <c:v>0.48149999999999998</c:v>
                </c:pt>
                <c:pt idx="9">
                  <c:v>0.38379999999999997</c:v>
                </c:pt>
                <c:pt idx="10">
                  <c:v>0.26369999999999999</c:v>
                </c:pt>
                <c:pt idx="11">
                  <c:v>0.30380000000000001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F5-4CF5-AACB-B30077DE6EB6}"/>
            </c:ext>
          </c:extLst>
        </c:ser>
        <c:ser>
          <c:idx val="3"/>
          <c:order val="3"/>
          <c:tx>
            <c:strRef>
              <c:f>Foglio1!$F$23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Foglio1!$F$24:$F$35</c:f>
              <c:numCache>
                <c:formatCode>0.0000</c:formatCode>
                <c:ptCount val="12"/>
                <c:pt idx="0">
                  <c:v>0.27</c:v>
                </c:pt>
                <c:pt idx="1">
                  <c:v>0.23469999999999999</c:v>
                </c:pt>
                <c:pt idx="2">
                  <c:v>0.29070000000000001</c:v>
                </c:pt>
                <c:pt idx="3">
                  <c:v>0.21479999999999999</c:v>
                </c:pt>
                <c:pt idx="4">
                  <c:v>0.38719999999999999</c:v>
                </c:pt>
                <c:pt idx="5">
                  <c:v>0.316</c:v>
                </c:pt>
                <c:pt idx="6">
                  <c:v>0.2069</c:v>
                </c:pt>
                <c:pt idx="7">
                  <c:v>0.28470000000000001</c:v>
                </c:pt>
                <c:pt idx="8">
                  <c:v>0.4627</c:v>
                </c:pt>
                <c:pt idx="9">
                  <c:v>0.38169999999999998</c:v>
                </c:pt>
                <c:pt idx="10">
                  <c:v>0.25469999999999998</c:v>
                </c:pt>
                <c:pt idx="11">
                  <c:v>0.29809999999999998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F5-4CF5-AACB-B30077DE6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278735"/>
        <c:axId val="1022001087"/>
      </c:barChart>
      <c:catAx>
        <c:axId val="84127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2001087"/>
        <c:crosses val="autoZero"/>
        <c:auto val="1"/>
        <c:lblAlgn val="ctr"/>
        <c:lblOffset val="100"/>
        <c:noMultiLvlLbl val="0"/>
      </c:catAx>
      <c:valAx>
        <c:axId val="10220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12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All</a:t>
            </a:r>
            <a:r>
              <a:rPr lang="it-IT" baseline="0"/>
              <a:t> Dense Unfrozen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Foglio1!$C$23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Foglio1!$C$45:$C$56</c:f>
              <c:numCache>
                <c:formatCode>0.0000</c:formatCode>
                <c:ptCount val="12"/>
                <c:pt idx="0">
                  <c:v>0.43369999999999997</c:v>
                </c:pt>
                <c:pt idx="1">
                  <c:v>0.42230000000000001</c:v>
                </c:pt>
                <c:pt idx="2">
                  <c:v>0.4597</c:v>
                </c:pt>
                <c:pt idx="3">
                  <c:v>0.39950000000000002</c:v>
                </c:pt>
                <c:pt idx="4">
                  <c:v>0.53949999999999998</c:v>
                </c:pt>
                <c:pt idx="5">
                  <c:v>0.52729999999999999</c:v>
                </c:pt>
                <c:pt idx="6">
                  <c:v>0.38319999999999999</c:v>
                </c:pt>
                <c:pt idx="7">
                  <c:v>0.41820000000000002</c:v>
                </c:pt>
                <c:pt idx="8">
                  <c:v>0.66069999999999995</c:v>
                </c:pt>
                <c:pt idx="9">
                  <c:v>0.50449999999999995</c:v>
                </c:pt>
                <c:pt idx="10">
                  <c:v>0.4093</c:v>
                </c:pt>
                <c:pt idx="11">
                  <c:v>0.48249999999999998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0-4986-B5C9-5A40569C79F3}"/>
            </c:ext>
          </c:extLst>
        </c:ser>
        <c:ser>
          <c:idx val="1"/>
          <c:order val="1"/>
          <c:tx>
            <c:strRef>
              <c:f>Foglio1!$D$23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Foglio1!$D$45:$D$56</c:f>
              <c:numCache>
                <c:formatCode>0.0000</c:formatCode>
                <c:ptCount val="12"/>
                <c:pt idx="0">
                  <c:v>0.40649999999999997</c:v>
                </c:pt>
                <c:pt idx="1">
                  <c:v>0.38080000000000003</c:v>
                </c:pt>
                <c:pt idx="2">
                  <c:v>0.42220000000000002</c:v>
                </c:pt>
                <c:pt idx="3">
                  <c:v>0.3523</c:v>
                </c:pt>
                <c:pt idx="4">
                  <c:v>0.54069999999999996</c:v>
                </c:pt>
                <c:pt idx="5">
                  <c:v>0.54830000000000001</c:v>
                </c:pt>
                <c:pt idx="6">
                  <c:v>0.30680000000000002</c:v>
                </c:pt>
                <c:pt idx="7">
                  <c:v>0.36559999999999998</c:v>
                </c:pt>
                <c:pt idx="8">
                  <c:v>0.68730000000000002</c:v>
                </c:pt>
                <c:pt idx="9">
                  <c:v>0.48630000000000001</c:v>
                </c:pt>
                <c:pt idx="10">
                  <c:v>0.37590000000000001</c:v>
                </c:pt>
                <c:pt idx="11">
                  <c:v>0.4617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0-4986-B5C9-5A40569C79F3}"/>
            </c:ext>
          </c:extLst>
        </c:ser>
        <c:ser>
          <c:idx val="2"/>
          <c:order val="2"/>
          <c:tx>
            <c:strRef>
              <c:f>Foglio1!$E$23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Foglio1!$E$45:$E$56</c:f>
              <c:numCache>
                <c:formatCode>0.0000</c:formatCode>
                <c:ptCount val="12"/>
                <c:pt idx="0">
                  <c:v>0.37430000000000002</c:v>
                </c:pt>
                <c:pt idx="1">
                  <c:v>0.34189999999999998</c:v>
                </c:pt>
                <c:pt idx="2">
                  <c:v>0.37869999999999998</c:v>
                </c:pt>
                <c:pt idx="3">
                  <c:v>0.31659999999999999</c:v>
                </c:pt>
                <c:pt idx="4">
                  <c:v>0.47149999999999997</c:v>
                </c:pt>
                <c:pt idx="5">
                  <c:v>0.43959999999999999</c:v>
                </c:pt>
                <c:pt idx="6">
                  <c:v>0.2913</c:v>
                </c:pt>
                <c:pt idx="7">
                  <c:v>0.33050000000000002</c:v>
                </c:pt>
                <c:pt idx="8">
                  <c:v>0.61240000000000006</c:v>
                </c:pt>
                <c:pt idx="9">
                  <c:v>0.44290000000000002</c:v>
                </c:pt>
                <c:pt idx="10">
                  <c:v>0.34370000000000001</c:v>
                </c:pt>
                <c:pt idx="11">
                  <c:v>0.42380000000000001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0-4986-B5C9-5A40569C79F3}"/>
            </c:ext>
          </c:extLst>
        </c:ser>
        <c:ser>
          <c:idx val="3"/>
          <c:order val="3"/>
          <c:tx>
            <c:strRef>
              <c:f>Foglio1!$F$23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Foglio1!$B$24:$B$35</c:f>
              <c:strCache>
                <c:ptCount val="12"/>
                <c:pt idx="0">
                  <c:v>Subject 16</c:v>
                </c:pt>
                <c:pt idx="1">
                  <c:v>Subject 17</c:v>
                </c:pt>
                <c:pt idx="2">
                  <c:v>Subject 18</c:v>
                </c:pt>
                <c:pt idx="3">
                  <c:v>Subject 19</c:v>
                </c:pt>
                <c:pt idx="4">
                  <c:v>Subject 20</c:v>
                </c:pt>
                <c:pt idx="5">
                  <c:v>Subject 21</c:v>
                </c:pt>
                <c:pt idx="6">
                  <c:v>Subject 22</c:v>
                </c:pt>
                <c:pt idx="7">
                  <c:v>Subject 23</c:v>
                </c:pt>
                <c:pt idx="8">
                  <c:v>Subject 24</c:v>
                </c:pt>
                <c:pt idx="9">
                  <c:v>Subject 25</c:v>
                </c:pt>
                <c:pt idx="10">
                  <c:v>Subject 26</c:v>
                </c:pt>
                <c:pt idx="11">
                  <c:v>Subject 27</c:v>
                </c:pt>
              </c:strCache>
            </c:strRef>
          </c:cat>
          <c:val>
            <c:numRef>
              <c:f>Foglio1!$F$45:$F$56</c:f>
              <c:numCache>
                <c:formatCode>0.0000</c:formatCode>
                <c:ptCount val="12"/>
                <c:pt idx="0">
                  <c:v>0.38429999999999997</c:v>
                </c:pt>
                <c:pt idx="1">
                  <c:v>0.35289999999999999</c:v>
                </c:pt>
                <c:pt idx="2">
                  <c:v>0.38879999999999998</c:v>
                </c:pt>
                <c:pt idx="3">
                  <c:v>0.32629999999999998</c:v>
                </c:pt>
                <c:pt idx="4">
                  <c:v>0.49070000000000003</c:v>
                </c:pt>
                <c:pt idx="5">
                  <c:v>0.46929999999999999</c:v>
                </c:pt>
                <c:pt idx="6">
                  <c:v>0.29249999999999998</c:v>
                </c:pt>
                <c:pt idx="7">
                  <c:v>0.33800000000000002</c:v>
                </c:pt>
                <c:pt idx="8">
                  <c:v>0.63700000000000001</c:v>
                </c:pt>
                <c:pt idx="9">
                  <c:v>0.45679999999999998</c:v>
                </c:pt>
                <c:pt idx="10">
                  <c:v>0.35060000000000002</c:v>
                </c:pt>
                <c:pt idx="11">
                  <c:v>0.43730000000000002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0-4986-B5C9-5A40569C7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278735"/>
        <c:axId val="1022001087"/>
      </c:barChart>
      <c:catAx>
        <c:axId val="84127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2001087"/>
        <c:crosses val="autoZero"/>
        <c:auto val="1"/>
        <c:lblAlgn val="ctr"/>
        <c:lblOffset val="100"/>
        <c:noMultiLvlLbl val="0"/>
      </c:catAx>
      <c:valAx>
        <c:axId val="10220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412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Last</a:t>
            </a:r>
            <a:r>
              <a:rPr lang="it-IT" baseline="0"/>
              <a:t> Dense vs All Dense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Foglio1!$C$9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Foglio1!$B$10:$B$11</c:f>
              <c:strCache>
                <c:ptCount val="2"/>
                <c:pt idx="0">
                  <c:v>4.1    Last Dense Only</c:v>
                </c:pt>
                <c:pt idx="1">
                  <c:v>4.2    All Dense Unfrozen</c:v>
                </c:pt>
              </c:strCache>
            </c:strRef>
          </c:cat>
          <c:val>
            <c:numRef>
              <c:f>Foglio1!$C$10:$C$11</c:f>
              <c:numCache>
                <c:formatCode>0.0000</c:formatCode>
                <c:ptCount val="2"/>
                <c:pt idx="0">
                  <c:v>0.36961666666666665</c:v>
                </c:pt>
                <c:pt idx="1">
                  <c:v>0.47003333333333336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6-4083-8A41-DB6A119C8A14}"/>
            </c:ext>
          </c:extLst>
        </c:ser>
        <c:ser>
          <c:idx val="2"/>
          <c:order val="1"/>
          <c:tx>
            <c:strRef>
              <c:f>Foglio1!$D$9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Foglio1!$B$10:$B$11</c:f>
              <c:strCache>
                <c:ptCount val="2"/>
                <c:pt idx="0">
                  <c:v>4.1    Last Dense Only</c:v>
                </c:pt>
                <c:pt idx="1">
                  <c:v>4.2    All Dense Unfrozen</c:v>
                </c:pt>
              </c:strCache>
            </c:strRef>
          </c:cat>
          <c:val>
            <c:numRef>
              <c:f>Foglio1!$D$10:$D$11</c:f>
              <c:numCache>
                <c:formatCode>0.0000</c:formatCode>
                <c:ptCount val="2"/>
                <c:pt idx="0">
                  <c:v>0.30793333333333334</c:v>
                </c:pt>
                <c:pt idx="1">
                  <c:v>0.44453333333333339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86-4083-8A41-DB6A119C8A14}"/>
            </c:ext>
          </c:extLst>
        </c:ser>
        <c:ser>
          <c:idx val="3"/>
          <c:order val="2"/>
          <c:tx>
            <c:strRef>
              <c:f>Foglio1!$E$9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Foglio1!$B$10:$B$11</c:f>
              <c:strCache>
                <c:ptCount val="2"/>
                <c:pt idx="0">
                  <c:v>4.1    Last Dense Only</c:v>
                </c:pt>
                <c:pt idx="1">
                  <c:v>4.2    All Dense Unfrozen</c:v>
                </c:pt>
              </c:strCache>
            </c:strRef>
          </c:cat>
          <c:val>
            <c:numRef>
              <c:f>Foglio1!$E$10:$E$11</c:f>
              <c:numCache>
                <c:formatCode>0.0000</c:formatCode>
                <c:ptCount val="2"/>
                <c:pt idx="0">
                  <c:v>0.30396666666666666</c:v>
                </c:pt>
                <c:pt idx="1">
                  <c:v>0.39726666666666666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86-4083-8A41-DB6A119C8A14}"/>
            </c:ext>
          </c:extLst>
        </c:ser>
        <c:ser>
          <c:idx val="4"/>
          <c:order val="3"/>
          <c:tx>
            <c:strRef>
              <c:f>Foglio1!$F$9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Foglio1!$B$10:$B$11</c:f>
              <c:strCache>
                <c:ptCount val="2"/>
                <c:pt idx="0">
                  <c:v>4.1    Last Dense Only</c:v>
                </c:pt>
                <c:pt idx="1">
                  <c:v>4.2    All Dense Unfrozen</c:v>
                </c:pt>
              </c:strCache>
            </c:strRef>
          </c:cat>
          <c:val>
            <c:numRef>
              <c:f>Foglio1!$F$10:$F$11</c:f>
              <c:numCache>
                <c:formatCode>0.0000</c:formatCode>
                <c:ptCount val="2"/>
                <c:pt idx="0">
                  <c:v>0.30018333333333336</c:v>
                </c:pt>
                <c:pt idx="1">
                  <c:v>0.41037499999999999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86-4083-8A41-DB6A119C8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438000"/>
        <c:axId val="975438480"/>
      </c:barChart>
      <c:catAx>
        <c:axId val="97543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5438480"/>
        <c:crosses val="autoZero"/>
        <c:auto val="1"/>
        <c:lblAlgn val="ctr"/>
        <c:lblOffset val="100"/>
        <c:noMultiLvlLbl val="0"/>
      </c:catAx>
      <c:valAx>
        <c:axId val="97543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543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152400</xdr:rowOff>
    </xdr:from>
    <xdr:to>
      <xdr:col>6</xdr:col>
      <xdr:colOff>0</xdr:colOff>
      <xdr:row>21</xdr:row>
      <xdr:rowOff>142875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179C0C3-3D58-D06B-947E-F57C9B462C49}"/>
            </a:ext>
          </a:extLst>
        </xdr:cNvPr>
        <xdr:cNvSpPr txBox="1"/>
      </xdr:nvSpPr>
      <xdr:spPr>
        <a:xfrm>
          <a:off x="657225" y="695325"/>
          <a:ext cx="5562600" cy="533400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4.1 RESNET (Last Dense Only)</a:t>
          </a:r>
        </a:p>
      </xdr:txBody>
    </xdr:sp>
    <xdr:clientData/>
  </xdr:twoCellAnchor>
  <xdr:twoCellAnchor>
    <xdr:from>
      <xdr:col>6</xdr:col>
      <xdr:colOff>642935</xdr:colOff>
      <xdr:row>18</xdr:row>
      <xdr:rowOff>173566</xdr:rowOff>
    </xdr:from>
    <xdr:to>
      <xdr:col>18</xdr:col>
      <xdr:colOff>418041</xdr:colOff>
      <xdr:row>36</xdr:row>
      <xdr:rowOff>21167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3B226E0-32FD-E4F1-82E4-EDB6D84C4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39</xdr:row>
      <xdr:rowOff>152400</xdr:rowOff>
    </xdr:from>
    <xdr:to>
      <xdr:col>6</xdr:col>
      <xdr:colOff>0</xdr:colOff>
      <xdr:row>42</xdr:row>
      <xdr:rowOff>142875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F2D0C976-8D99-43B1-BFCB-F4DB4674FB78}"/>
            </a:ext>
          </a:extLst>
        </xdr:cNvPr>
        <xdr:cNvSpPr txBox="1"/>
      </xdr:nvSpPr>
      <xdr:spPr>
        <a:xfrm>
          <a:off x="655108" y="152400"/>
          <a:ext cx="4705351" cy="530225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4.2 RESNET (All Dense Unfrozen)</a:t>
          </a:r>
        </a:p>
      </xdr:txBody>
    </xdr:sp>
    <xdr:clientData/>
  </xdr:twoCellAnchor>
  <xdr:twoCellAnchor>
    <xdr:from>
      <xdr:col>6</xdr:col>
      <xdr:colOff>642935</xdr:colOff>
      <xdr:row>39</xdr:row>
      <xdr:rowOff>173566</xdr:rowOff>
    </xdr:from>
    <xdr:to>
      <xdr:col>18</xdr:col>
      <xdr:colOff>418041</xdr:colOff>
      <xdr:row>57</xdr:row>
      <xdr:rowOff>21167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91823F1-8A3D-4F2F-A8CE-0646CAB1B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599016</xdr:colOff>
      <xdr:row>0</xdr:row>
      <xdr:rowOff>81492</xdr:rowOff>
    </xdr:from>
    <xdr:to>
      <xdr:col>12</xdr:col>
      <xdr:colOff>531284</xdr:colOff>
      <xdr:row>3</xdr:row>
      <xdr:rowOff>71967</xdr:rowOff>
    </xdr:to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953CBB74-6680-4EBF-B6F6-762531212ACD}"/>
            </a:ext>
          </a:extLst>
        </xdr:cNvPr>
        <xdr:cNvSpPr txBox="1"/>
      </xdr:nvSpPr>
      <xdr:spPr>
        <a:xfrm>
          <a:off x="5059892" y="81492"/>
          <a:ext cx="4705351" cy="530225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2400" b="1">
              <a:solidFill>
                <a:srgbClr val="FF0000"/>
              </a:solidFill>
            </a:rPr>
            <a:t>ADAPTATION</a:t>
          </a:r>
        </a:p>
      </xdr:txBody>
    </xdr:sp>
    <xdr:clientData/>
  </xdr:twoCellAnchor>
  <xdr:twoCellAnchor>
    <xdr:from>
      <xdr:col>7</xdr:col>
      <xdr:colOff>78579</xdr:colOff>
      <xdr:row>3</xdr:row>
      <xdr:rowOff>152400</xdr:rowOff>
    </xdr:from>
    <xdr:to>
      <xdr:col>14</xdr:col>
      <xdr:colOff>242886</xdr:colOff>
      <xdr:row>17</xdr:row>
      <xdr:rowOff>71438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BDAE916-3059-F9A7-B079-8CA6E97B5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642938</xdr:colOff>
      <xdr:row>4</xdr:row>
      <xdr:rowOff>142875</xdr:rowOff>
    </xdr:from>
    <xdr:to>
      <xdr:col>5</xdr:col>
      <xdr:colOff>885826</xdr:colOff>
      <xdr:row>7</xdr:row>
      <xdr:rowOff>133350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2572E2B0-5A01-4672-A127-409BAB1FF594}"/>
            </a:ext>
          </a:extLst>
        </xdr:cNvPr>
        <xdr:cNvSpPr txBox="1"/>
      </xdr:nvSpPr>
      <xdr:spPr>
        <a:xfrm>
          <a:off x="642938" y="866775"/>
          <a:ext cx="5062538" cy="533400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Last Dense Vs</a:t>
          </a:r>
          <a:r>
            <a:rPr lang="it-IT" sz="1600" b="1" baseline="0">
              <a:solidFill>
                <a:srgbClr val="FF0000"/>
              </a:solidFill>
            </a:rPr>
            <a:t> All Dense</a:t>
          </a:r>
          <a:endParaRPr lang="it-IT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B0DD-2119-44DE-AE3F-F0CAB94BB28E}">
  <dimension ref="A9:S57"/>
  <sheetViews>
    <sheetView tabSelected="1" zoomScaleNormal="100" workbookViewId="0">
      <selection activeCell="C15" sqref="C15"/>
    </sheetView>
  </sheetViews>
  <sheetFormatPr defaultRowHeight="14.25" x14ac:dyDescent="0.45"/>
  <cols>
    <col min="2" max="2" width="20.59765625" customWidth="1"/>
    <col min="3" max="6" width="12.59765625" customWidth="1"/>
  </cols>
  <sheetData>
    <row r="9" spans="2:6" x14ac:dyDescent="0.45">
      <c r="B9" s="1"/>
      <c r="C9" s="2" t="s">
        <v>0</v>
      </c>
      <c r="D9" s="2" t="s">
        <v>13</v>
      </c>
      <c r="E9" s="2" t="s">
        <v>14</v>
      </c>
      <c r="F9" s="2" t="s">
        <v>15</v>
      </c>
    </row>
    <row r="10" spans="2:6" x14ac:dyDescent="0.45">
      <c r="B10" s="6" t="s">
        <v>18</v>
      </c>
      <c r="C10" s="4">
        <f>C36</f>
        <v>0.36961666666666665</v>
      </c>
      <c r="D10" s="4">
        <f>D36</f>
        <v>0.30793333333333334</v>
      </c>
      <c r="E10" s="4">
        <f>E36</f>
        <v>0.30396666666666666</v>
      </c>
      <c r="F10" s="4">
        <f>F36</f>
        <v>0.30018333333333336</v>
      </c>
    </row>
    <row r="11" spans="2:6" x14ac:dyDescent="0.45">
      <c r="B11" s="6" t="s">
        <v>17</v>
      </c>
      <c r="C11" s="4">
        <f>C57</f>
        <v>0.47003333333333336</v>
      </c>
      <c r="D11" s="4">
        <f>D57</f>
        <v>0.44453333333333339</v>
      </c>
      <c r="E11" s="4">
        <f>E57</f>
        <v>0.39726666666666666</v>
      </c>
      <c r="F11" s="4">
        <f>F57</f>
        <v>0.41037499999999999</v>
      </c>
    </row>
    <row r="23" spans="2:6" s="1" customFormat="1" x14ac:dyDescent="0.45">
      <c r="C23" s="2" t="s">
        <v>0</v>
      </c>
      <c r="D23" s="2" t="s">
        <v>13</v>
      </c>
      <c r="E23" s="2" t="s">
        <v>14</v>
      </c>
      <c r="F23" s="2" t="s">
        <v>15</v>
      </c>
    </row>
    <row r="24" spans="2:6" s="1" customFormat="1" x14ac:dyDescent="0.45">
      <c r="B24" s="2" t="s">
        <v>1</v>
      </c>
      <c r="C24" s="4">
        <v>0.34260000000000002</v>
      </c>
      <c r="D24" s="4">
        <v>0.27700000000000002</v>
      </c>
      <c r="E24" s="4">
        <v>0.2697</v>
      </c>
      <c r="F24" s="4">
        <v>0.27</v>
      </c>
    </row>
    <row r="25" spans="2:6" s="1" customFormat="1" x14ac:dyDescent="0.45">
      <c r="B25" s="2" t="s">
        <v>2</v>
      </c>
      <c r="C25" s="4">
        <v>0.28639999999999999</v>
      </c>
      <c r="D25" s="4">
        <v>0.23549999999999999</v>
      </c>
      <c r="E25" s="4">
        <v>0.2412</v>
      </c>
      <c r="F25" s="4">
        <v>0.23469999999999999</v>
      </c>
    </row>
    <row r="26" spans="2:6" s="1" customFormat="1" x14ac:dyDescent="0.45">
      <c r="B26" s="2" t="s">
        <v>3</v>
      </c>
      <c r="C26" s="4">
        <v>0.36130000000000001</v>
      </c>
      <c r="D26" s="4">
        <v>0.28839999999999999</v>
      </c>
      <c r="E26" s="4">
        <v>0.29599999999999999</v>
      </c>
      <c r="F26" s="4">
        <v>0.29070000000000001</v>
      </c>
    </row>
    <row r="27" spans="2:6" s="1" customFormat="1" x14ac:dyDescent="0.45">
      <c r="B27" s="2" t="s">
        <v>4</v>
      </c>
      <c r="C27" s="4">
        <v>0.32629999999999998</v>
      </c>
      <c r="D27" s="4">
        <v>0.2321</v>
      </c>
      <c r="E27" s="4">
        <v>0.219</v>
      </c>
      <c r="F27" s="4">
        <v>0.21479999999999999</v>
      </c>
    </row>
    <row r="28" spans="2:6" s="1" customFormat="1" x14ac:dyDescent="0.45">
      <c r="B28" s="2" t="s">
        <v>5</v>
      </c>
      <c r="C28" s="4">
        <v>0.4491</v>
      </c>
      <c r="D28" s="4">
        <v>0.40660000000000002</v>
      </c>
      <c r="E28" s="4">
        <v>0.38150000000000001</v>
      </c>
      <c r="F28" s="4">
        <v>0.38719999999999999</v>
      </c>
    </row>
    <row r="29" spans="2:6" s="1" customFormat="1" x14ac:dyDescent="0.45">
      <c r="B29" s="2" t="s">
        <v>6</v>
      </c>
      <c r="C29" s="4">
        <v>0.3841</v>
      </c>
      <c r="D29" s="4">
        <v>0.33090000000000003</v>
      </c>
      <c r="E29" s="4">
        <v>0.31430000000000002</v>
      </c>
      <c r="F29" s="4">
        <v>0.316</v>
      </c>
    </row>
    <row r="30" spans="2:6" s="1" customFormat="1" x14ac:dyDescent="0.45">
      <c r="B30" s="2" t="s">
        <v>7</v>
      </c>
      <c r="C30" s="4">
        <v>0.30590000000000001</v>
      </c>
      <c r="D30" s="4">
        <v>0.2157</v>
      </c>
      <c r="E30" s="4">
        <v>0.2107</v>
      </c>
      <c r="F30" s="4">
        <v>0.2069</v>
      </c>
    </row>
    <row r="31" spans="2:6" s="1" customFormat="1" x14ac:dyDescent="0.45">
      <c r="B31" s="2" t="s">
        <v>8</v>
      </c>
      <c r="C31" s="4">
        <v>0.36780000000000002</v>
      </c>
      <c r="D31" s="4">
        <v>0.30620000000000003</v>
      </c>
      <c r="E31" s="4">
        <v>0.28239999999999998</v>
      </c>
      <c r="F31" s="4">
        <v>0.28470000000000001</v>
      </c>
    </row>
    <row r="32" spans="2:6" s="1" customFormat="1" x14ac:dyDescent="0.45">
      <c r="B32" s="2" t="s">
        <v>9</v>
      </c>
      <c r="C32" s="4">
        <v>0.47760000000000002</v>
      </c>
      <c r="D32" s="4">
        <v>0.45400000000000001</v>
      </c>
      <c r="E32" s="4">
        <v>0.48149999999999998</v>
      </c>
      <c r="F32" s="4">
        <v>0.4627</v>
      </c>
    </row>
    <row r="33" spans="1:19" s="1" customFormat="1" x14ac:dyDescent="0.45">
      <c r="B33" s="2" t="s">
        <v>10</v>
      </c>
      <c r="C33" s="4">
        <v>0.43859999999999999</v>
      </c>
      <c r="D33" s="4">
        <v>0.38950000000000001</v>
      </c>
      <c r="E33" s="4">
        <v>0.38379999999999997</v>
      </c>
      <c r="F33" s="4">
        <v>0.38169999999999998</v>
      </c>
    </row>
    <row r="34" spans="1:19" s="1" customFormat="1" x14ac:dyDescent="0.45">
      <c r="B34" s="2" t="s">
        <v>11</v>
      </c>
      <c r="C34" s="4">
        <v>0.34660000000000002</v>
      </c>
      <c r="D34" s="4">
        <v>0.25879999999999997</v>
      </c>
      <c r="E34" s="4">
        <v>0.26369999999999999</v>
      </c>
      <c r="F34" s="4">
        <v>0.25469999999999998</v>
      </c>
    </row>
    <row r="35" spans="1:19" s="1" customFormat="1" x14ac:dyDescent="0.45">
      <c r="B35" s="2" t="s">
        <v>12</v>
      </c>
      <c r="C35" s="4">
        <v>0.34910000000000002</v>
      </c>
      <c r="D35" s="4">
        <v>0.30049999999999999</v>
      </c>
      <c r="E35" s="4">
        <v>0.30380000000000001</v>
      </c>
      <c r="F35" s="4">
        <v>0.29809999999999998</v>
      </c>
    </row>
    <row r="36" spans="1:19" ht="15.75" x14ac:dyDescent="0.45">
      <c r="B36" s="3" t="s">
        <v>16</v>
      </c>
      <c r="C36" s="5">
        <f>AVERAGE(C24:C35)</f>
        <v>0.36961666666666665</v>
      </c>
      <c r="D36" s="5">
        <f>AVERAGE(D24:D35)</f>
        <v>0.30793333333333334</v>
      </c>
      <c r="E36" s="5">
        <f>AVERAGE(E24:E35)</f>
        <v>0.30396666666666666</v>
      </c>
      <c r="F36" s="5">
        <f>AVERAGE(F24:F35)</f>
        <v>0.30018333333333336</v>
      </c>
    </row>
    <row r="44" spans="1:19" x14ac:dyDescent="0.45">
      <c r="A44" s="1"/>
      <c r="B44" s="1"/>
      <c r="C44" s="2" t="s">
        <v>0</v>
      </c>
      <c r="D44" s="2" t="s">
        <v>13</v>
      </c>
      <c r="E44" s="2" t="s">
        <v>14</v>
      </c>
      <c r="F44" s="2" t="s">
        <v>15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45">
      <c r="A45" s="1"/>
      <c r="B45" s="2" t="s">
        <v>1</v>
      </c>
      <c r="C45" s="4">
        <v>0.43369999999999997</v>
      </c>
      <c r="D45" s="4">
        <v>0.40649999999999997</v>
      </c>
      <c r="E45" s="4">
        <v>0.37430000000000002</v>
      </c>
      <c r="F45" s="4">
        <v>0.38429999999999997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45">
      <c r="A46" s="1"/>
      <c r="B46" s="2" t="s">
        <v>2</v>
      </c>
      <c r="C46" s="4">
        <v>0.42230000000000001</v>
      </c>
      <c r="D46" s="4">
        <v>0.38080000000000003</v>
      </c>
      <c r="E46" s="4">
        <v>0.34189999999999998</v>
      </c>
      <c r="F46" s="4">
        <v>0.35289999999999999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45">
      <c r="A47" s="1"/>
      <c r="B47" s="2" t="s">
        <v>3</v>
      </c>
      <c r="C47" s="4">
        <v>0.4597</v>
      </c>
      <c r="D47" s="4">
        <v>0.42220000000000002</v>
      </c>
      <c r="E47" s="4">
        <v>0.37869999999999998</v>
      </c>
      <c r="F47" s="4">
        <v>0.38879999999999998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45">
      <c r="A48" s="1"/>
      <c r="B48" s="2" t="s">
        <v>4</v>
      </c>
      <c r="C48" s="4">
        <v>0.39950000000000002</v>
      </c>
      <c r="D48" s="4">
        <v>0.3523</v>
      </c>
      <c r="E48" s="4">
        <v>0.31659999999999999</v>
      </c>
      <c r="F48" s="4">
        <v>0.32629999999999998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45">
      <c r="A49" s="1"/>
      <c r="B49" s="2" t="s">
        <v>5</v>
      </c>
      <c r="C49" s="4">
        <v>0.53949999999999998</v>
      </c>
      <c r="D49" s="4">
        <v>0.54069999999999996</v>
      </c>
      <c r="E49" s="4">
        <v>0.47149999999999997</v>
      </c>
      <c r="F49" s="4">
        <v>0.49070000000000003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45">
      <c r="A50" s="1"/>
      <c r="B50" s="2" t="s">
        <v>6</v>
      </c>
      <c r="C50" s="4">
        <v>0.52729999999999999</v>
      </c>
      <c r="D50" s="4">
        <v>0.54830000000000001</v>
      </c>
      <c r="E50" s="4">
        <v>0.43959999999999999</v>
      </c>
      <c r="F50" s="4">
        <v>0.46929999999999999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45">
      <c r="A51" s="1"/>
      <c r="B51" s="2" t="s">
        <v>7</v>
      </c>
      <c r="C51" s="4">
        <v>0.38319999999999999</v>
      </c>
      <c r="D51" s="4">
        <v>0.30680000000000002</v>
      </c>
      <c r="E51" s="4">
        <v>0.2913</v>
      </c>
      <c r="F51" s="4">
        <v>0.29249999999999998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45">
      <c r="A52" s="1"/>
      <c r="B52" s="2" t="s">
        <v>8</v>
      </c>
      <c r="C52" s="4">
        <v>0.41820000000000002</v>
      </c>
      <c r="D52" s="4">
        <v>0.36559999999999998</v>
      </c>
      <c r="E52" s="4">
        <v>0.33050000000000002</v>
      </c>
      <c r="F52" s="4">
        <v>0.33800000000000002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45">
      <c r="A53" s="1"/>
      <c r="B53" s="2" t="s">
        <v>9</v>
      </c>
      <c r="C53" s="4">
        <v>0.66069999999999995</v>
      </c>
      <c r="D53" s="4">
        <v>0.68730000000000002</v>
      </c>
      <c r="E53" s="4">
        <v>0.61240000000000006</v>
      </c>
      <c r="F53" s="4">
        <v>0.63700000000000001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45">
      <c r="A54" s="1"/>
      <c r="B54" s="2" t="s">
        <v>10</v>
      </c>
      <c r="C54" s="4">
        <v>0.50449999999999995</v>
      </c>
      <c r="D54" s="4">
        <v>0.48630000000000001</v>
      </c>
      <c r="E54" s="4">
        <v>0.44290000000000002</v>
      </c>
      <c r="F54" s="4">
        <v>0.45679999999999998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A55" s="1"/>
      <c r="B55" s="2" t="s">
        <v>11</v>
      </c>
      <c r="C55" s="4">
        <v>0.4093</v>
      </c>
      <c r="D55" s="4">
        <v>0.37590000000000001</v>
      </c>
      <c r="E55" s="4">
        <v>0.34370000000000001</v>
      </c>
      <c r="F55" s="4">
        <v>0.35060000000000002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45">
      <c r="A56" s="1"/>
      <c r="B56" s="2" t="s">
        <v>12</v>
      </c>
      <c r="C56" s="4">
        <v>0.48249999999999998</v>
      </c>
      <c r="D56" s="4">
        <v>0.4617</v>
      </c>
      <c r="E56" s="4">
        <v>0.42380000000000001</v>
      </c>
      <c r="F56" s="4">
        <v>0.43730000000000002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x14ac:dyDescent="0.45">
      <c r="B57" s="3" t="s">
        <v>16</v>
      </c>
      <c r="C57" s="5">
        <f>AVERAGE(C45:C56)</f>
        <v>0.47003333333333336</v>
      </c>
      <c r="D57" s="5">
        <f>AVERAGE(D45:D56)</f>
        <v>0.44453333333333339</v>
      </c>
      <c r="E57" s="5">
        <f>AVERAGE(E45:E56)</f>
        <v>0.39726666666666666</v>
      </c>
      <c r="F57" s="5">
        <f>AVERAGE(F45:F56)</f>
        <v>0.41037499999999999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CAPRIA</dc:creator>
  <cp:lastModifiedBy>FRANCESCO CAPRIA</cp:lastModifiedBy>
  <dcterms:created xsi:type="dcterms:W3CDTF">2026-01-09T17:15:36Z</dcterms:created>
  <dcterms:modified xsi:type="dcterms:W3CDTF">2026-01-29T21:43:30Z</dcterms:modified>
</cp:coreProperties>
</file>